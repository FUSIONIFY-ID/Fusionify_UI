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Anggaran" sheetId="3" state="visible" r:id="rId3"/>
    <sheet xmlns:r="http://schemas.openxmlformats.org/officeDocument/2006/relationships" name="Daftar" sheetId="4" state="visible" r:id="rId4"/>
  </sheets>
  <definedNames>
    <definedName name="_xlnm.Print_Area" localSheetId="1">'Invoice'!$A$1:$E$39</definedName>
    <definedName name="_xlnm.Print_Area" localSheetId="2">'Anggaran'!$A$1:$G$25</definedName>
    <definedName name="_xlnm._FilterDatabase" localSheetId="3" hidden="1">'Daftar'!$A$9:$G$59</definedName>
    <definedName name="_xlnm.Print_Titles" localSheetId="3">'Daftar'!$9:$9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[$-421]d mmmm yyyy"/>
    <numFmt numFmtId="166" formatCode="&quot;Rp&quot;#,##0;-&quot;Rp&quot;#,##0;&quot;-&quot;"/>
    <numFmt numFmtId="167" formatCode="0.0%;-0.0%;&quot;-&quot;"/>
  </numFmts>
  <fonts count="14">
    <font>
      <name val="Calibri"/>
      <family val="2"/>
      <color theme="1"/>
      <sz val="11"/>
      <scheme val="minor"/>
    </font>
    <font>
      <name val="Exo 2"/>
      <b val="1"/>
      <color rgb="000261CD"/>
      <sz val="8"/>
    </font>
    <font>
      <name val="Afacad Flux ExtraBold"/>
      <color rgb="000B0F1A"/>
      <sz val="20"/>
    </font>
    <font>
      <name val="Sansation"/>
      <b val="1"/>
      <color rgb="000B0F1A"/>
      <sz val="10"/>
    </font>
    <font>
      <name val="Sansation"/>
      <color rgb="000B0F1A"/>
      <sz val="10"/>
    </font>
    <font>
      <name val="Afacad Flux ExtraBold"/>
      <color rgb="000B0F1A"/>
      <sz val="12"/>
    </font>
    <font>
      <name val="Sansation"/>
      <color rgb="00566175"/>
      <sz val="9"/>
    </font>
    <font>
      <name val="Afacad Flux ExtraBold"/>
      <color rgb="000B0F1A"/>
      <sz val="24"/>
    </font>
    <font>
      <name val="Exo 2"/>
      <b val="1"/>
      <color rgb="00FFFFFF"/>
      <sz val="9"/>
    </font>
    <font>
      <name val="Exo 2"/>
      <color rgb="00566175"/>
      <sz val="10"/>
    </font>
    <font>
      <name val="Exo 2"/>
      <color rgb="000B0F1A"/>
      <sz val="10"/>
    </font>
    <font>
      <name val="Afacad Flux ExtraBold"/>
      <color rgb="00FFFFFF"/>
      <sz val="13"/>
    </font>
    <font>
      <name val="Exo 2"/>
      <b val="1"/>
      <color rgb="00FFFFFF"/>
      <sz val="11"/>
    </font>
    <font>
      <name val="Afacad Flux ExtraBold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D8"/>
        <bgColor rgb="00FFF2D8"/>
      </patternFill>
    </fill>
    <fill>
      <patternFill patternType="solid">
        <fgColor rgb="00FFFFFF"/>
        <bgColor rgb="00FFFFFF"/>
      </patternFill>
    </fill>
    <fill>
      <patternFill patternType="solid">
        <fgColor rgb="000B0F1A"/>
        <bgColor rgb="000B0F1A"/>
      </patternFill>
    </fill>
    <fill>
      <patternFill patternType="solid">
        <fgColor rgb="000D6CD7"/>
        <bgColor rgb="000D6CD7"/>
      </patternFill>
    </fill>
  </fills>
  <borders count="3">
    <border>
      <left/>
      <right/>
      <top/>
      <bottom/>
      <diagonal/>
    </border>
    <border>
      <bottom style="thin">
        <color rgb="00D3E4F7"/>
      </bottom>
    </border>
    <border>
      <bottom style="medium">
        <color rgb="000B0F1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0" fillId="0" borderId="2" pivotButton="0" quotePrefix="0" xfId="0"/>
    <xf numFmtId="0" fontId="6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7" fillId="0" borderId="0" pivotButton="0" quotePrefix="0" xfId="0"/>
    <xf numFmtId="165" fontId="4" fillId="2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3" fillId="2" borderId="0" pivotButton="0" quotePrefix="0" xfId="0"/>
    <xf numFmtId="0" fontId="4" fillId="2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right" vertical="center" indent="1"/>
    </xf>
    <xf numFmtId="0" fontId="9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right" vertical="center"/>
    </xf>
    <xf numFmtId="166" fontId="4" fillId="2" borderId="1" pivotButton="0" quotePrefix="0" xfId="0"/>
    <xf numFmtId="166" fontId="10" fillId="0" borderId="1" pivotButton="0" quotePrefix="0" xfId="0"/>
    <xf numFmtId="0" fontId="4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6" fontId="10" fillId="2" borderId="0" applyAlignment="1" pivotButton="0" quotePrefix="0" xfId="0">
      <alignment horizontal="right" vertical="center"/>
    </xf>
    <xf numFmtId="167" fontId="10" fillId="2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right" vertical="center"/>
    </xf>
    <xf numFmtId="166" fontId="11" fillId="5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1" pivotButton="0" quotePrefix="0" xfId="0"/>
    <xf numFmtId="167" fontId="10" fillId="0" borderId="1" pivotButton="0" quotePrefix="0" xfId="0"/>
    <xf numFmtId="0" fontId="12" fillId="5" borderId="0" pivotButton="0" quotePrefix="0" xfId="0"/>
    <xf numFmtId="0" fontId="13" fillId="5" borderId="0" pivotButton="0" quotePrefix="0" xfId="0"/>
    <xf numFmtId="166" fontId="12" fillId="5" borderId="0" pivotButton="0" quotePrefix="0" xfId="0"/>
    <xf numFmtId="167" fontId="12" fillId="5" borderId="0" pivotButton="0" quotePrefix="0" xfId="0"/>
    <xf numFmtId="165" fontId="4" fillId="2" borderId="1" pivotButton="0" quotePrefix="0" xfId="0"/>
  </cellXfs>
  <cellStyles count="1">
    <cellStyle name="Normal" xfId="0" builtinId="0" hidden="0"/>
  </cellStyles>
  <dxfs count="7">
    <dxf>
      <font>
        <name val="Exo 2"/>
        <b val="1"/>
        <color rgb="00B4232C"/>
      </font>
      <fill>
        <patternFill patternType="solid">
          <fgColor rgb="00FDE8EA"/>
          <bgColor rgb="00FDE8EA"/>
        </patternFill>
      </fill>
    </dxf>
    <dxf>
      <font>
        <name val="Exo 2"/>
        <b val="1"/>
        <color rgb="00B4232C"/>
      </font>
    </dxf>
    <dxf>
      <font>
        <name val="Exo 2"/>
        <b val="1"/>
        <color rgb="00157F3B"/>
      </font>
      <fill>
        <patternFill patternType="solid">
          <fgColor rgb="00E3F6E9"/>
          <bgColor rgb="00E3F6E9"/>
        </patternFill>
      </fill>
    </dxf>
    <dxf>
      <font>
        <name val="Exo 2"/>
        <b val="1"/>
        <color rgb="009A5B00"/>
      </font>
      <fill>
        <patternFill patternType="solid">
          <fgColor rgb="00FFF2D8"/>
          <bgColor rgb="00FFF2D8"/>
        </patternFill>
      </fill>
    </dxf>
    <dxf>
      <font>
        <name val="Exo 2"/>
        <b val="1"/>
        <color rgb="008A4A00"/>
      </font>
      <fill>
        <patternFill patternType="solid">
          <fgColor rgb="00FFE9D6"/>
          <bgColor rgb="00FFE9D6"/>
        </patternFill>
      </fill>
    </dxf>
    <dxf>
      <font>
        <name val="Exo 2"/>
        <b val="1"/>
        <color rgb="000261CD"/>
      </font>
      <fill>
        <patternFill patternType="solid">
          <fgColor rgb="00EEF7FF"/>
          <bgColor rgb="00EEF7FF"/>
        </patternFill>
      </fill>
    </dxf>
    <dxf>
      <font>
        <name val="Exo 2"/>
        <b val="1"/>
        <color rgb="005B6475"/>
      </font>
      <fill>
        <patternFill patternType="solid">
          <fgColor rgb="00ECEFF4"/>
          <bgColor rgb="00ECEF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FUSIONIFY</author>
  </authors>
  <commentList>
    <comment ref="D7" authorId="0" shapeId="0">
      <text>
        <t>Tanggal tetap invoice. Jangan pakai =TODAY(): nilainya berubah setiap file dibuka.</t>
      </text>
    </comment>
    <comment ref="D8" authorId="0" shapeId="0">
      <text>
        <t>Rumus: tanggal + 14 hari. Ganti angka 14 kalau termin berbeda.</t>
      </text>
    </comment>
    <comment ref="B16" authorId="0" shapeId="0">
      <text>
        <t>Baris contoh. Timpa dengan pekerjaan asli.</t>
      </text>
    </comment>
    <comment ref="E29" authorId="0" shapeId="0">
      <text>
        <t>Isi 0,11 untuk PPN 11% hanya kalau perusahaan sudah PKP. Selain itu biarkan 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</cols>
  <sheetData>
    <row r="6">
      <c r="B6" s="1" t="inlineStr">
        <is>
          <t>TEMPLATE SPREADSHEET FUSIONIFY</t>
        </is>
      </c>
    </row>
    <row r="7" ht="28" customHeight="1">
      <c r="B7" s="2" t="inlineStr">
        <is>
          <t>Cara memakai file ini</t>
        </is>
      </c>
    </row>
    <row r="9" ht="30" customHeight="1">
      <c r="B9" s="3" t="inlineStr">
        <is>
          <t>Sel kuning muda</t>
        </is>
      </c>
      <c r="C9" s="4" t="inlineStr">
        <is>
          <t>Isian. Ganti nilainya dengan data asli. Hanya sel ini yang perlu diubah.</t>
        </is>
      </c>
    </row>
    <row r="10" ht="30" customHeight="1">
      <c r="B10" s="5" t="inlineStr">
        <is>
          <t>Sel putih</t>
        </is>
      </c>
      <c r="C10" s="4" t="inlineStr">
        <is>
          <t>Rumus. Jangan diketik ulang; nilainya dihitung otomatis.</t>
        </is>
      </c>
    </row>
    <row r="11" ht="30" customHeight="1">
      <c r="B11" s="5" t="inlineStr">
        <is>
          <t>Baris contoh</t>
        </is>
      </c>
      <c r="C11" s="4" t="inlineStr">
        <is>
          <t>Setiap sheet punya satu baris contoh (ditandai di kolom catatan). Hapus atau timpa sebelum dipakai.</t>
        </is>
      </c>
    </row>
    <row r="12" ht="30" customHeight="1">
      <c r="B12" s="5" t="inlineStr">
        <is>
          <t>Invoice</t>
        </is>
      </c>
      <c r="C12" s="4" t="inlineStr">
        <is>
          <t>Tagihan berformula: jumlah, subtotal, diskon, pajak, total. Isi pajak hanya kalau perusahaan sudah PKP.</t>
        </is>
      </c>
    </row>
    <row r="13" ht="30" customHeight="1">
      <c r="B13" s="5" t="inlineStr">
        <is>
          <t>Anggaran</t>
        </is>
      </c>
      <c r="C13" s="4" t="inlineStr">
        <is>
          <t>Rencana vs realisasi per kategori. Persentase di atas 100% otomatis ditandai merah.</t>
        </is>
      </c>
    </row>
    <row r="14" ht="30" customHeight="1">
      <c r="B14" s="5" t="inlineStr">
        <is>
          <t>Daftar</t>
        </is>
      </c>
      <c r="C14" s="4" t="inlineStr">
        <is>
          <t>Pelacak umum (produk, tugas, aset). Kolom Status memakai lima status resmi kit dengan warnanya.</t>
        </is>
      </c>
    </row>
    <row r="15" ht="30" customHeight="1">
      <c r="B15" s="5" t="inlineStr">
        <is>
          <t>Huruf</t>
        </is>
      </c>
      <c r="C15" s="4" t="inlineStr">
        <is>
          <t>Pasang huruf di tokens/fonts-ttf (Afacad Flux, Sansation, Exo 2) supaya tampilan sama dengan dokumen lain.</t>
        </is>
      </c>
    </row>
    <row r="16" ht="30" customHeight="1">
      <c r="B16" s="5" t="inlineStr">
        <is>
          <t>Jujur</t>
        </is>
      </c>
      <c r="C16" s="4" t="inlineStr">
        <is>
          <t>Jangan isi angka karangan. Data contoh harus diganti data asli sebelum dibagikan.</t>
        </is>
      </c>
    </row>
  </sheetData>
  <pageMargins left="0.75" right="0.75" top="1" bottom="1" header="0.5" footer="0.5"/>
  <pageSetup paperSize="9" fitToHeight="0" fitToWidth="1"/>
  <headerFooter>
    <oddHeader/>
    <oddFooter>&amp;L&amp;"Exo 2"&amp;8 PT FUSIONIFY DIGITAL STORE · fusionify.id&amp;R&amp;"Exo 2"&amp;8 Halaman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9" customWidth="1" min="3" max="3"/>
    <col width="17" customWidth="1" min="4" max="4"/>
    <col width="19" customWidth="1" min="5" max="5"/>
  </cols>
  <sheetData>
    <row r="1" ht="16" customHeight="1">
      <c r="E1" s="6" t="inlineStr">
        <is>
          <t>PT FUSIONIFY DIGITAL STORE</t>
        </is>
      </c>
    </row>
    <row r="2" ht="16" customHeight="1">
      <c r="E2" s="7" t="inlineStr">
        <is>
          <t>Bogor, Jawa Barat</t>
        </is>
      </c>
    </row>
    <row r="3" ht="16" customHeight="1">
      <c r="E3" s="7" t="inlineStr">
        <is>
          <t>hello@fusionify.id · +62 831-1138-0628 · fusionify.id</t>
        </is>
      </c>
    </row>
    <row r="4">
      <c r="A4" s="8" t="n"/>
      <c r="B4" s="8" t="n"/>
      <c r="C4" s="8" t="n"/>
      <c r="D4" s="8" t="n"/>
      <c r="E4" s="8" t="n"/>
    </row>
    <row r="6">
      <c r="A6" s="1" t="inlineStr">
        <is>
          <t>TAGIHAN</t>
        </is>
      </c>
      <c r="C6" s="9" t="inlineStr">
        <is>
          <t>Nomor</t>
        </is>
      </c>
      <c r="D6" s="10" t="inlineStr">
        <is>
          <t>012/INV/FDS/X/2026</t>
        </is>
      </c>
    </row>
    <row r="7" ht="34" customHeight="1">
      <c r="A7" s="11" t="inlineStr">
        <is>
          <t>Invoice</t>
        </is>
      </c>
      <c r="C7" s="9" t="inlineStr">
        <is>
          <t>Tanggal</t>
        </is>
      </c>
      <c r="D7" s="12" t="n">
        <v>46321</v>
      </c>
    </row>
    <row r="8">
      <c r="C8" s="9" t="inlineStr">
        <is>
          <t>Jatuh tempo</t>
        </is>
      </c>
      <c r="D8" s="13">
        <f>D7+14</f>
        <v/>
      </c>
    </row>
    <row r="10">
      <c r="A10" s="1" t="inlineStr">
        <is>
          <t>DITAGIHKAN KEPADA</t>
        </is>
      </c>
      <c r="D10" s="1" t="inlineStr">
        <is>
          <t>PROYEK</t>
        </is>
      </c>
    </row>
    <row r="11">
      <c r="A11" s="14" t="inlineStr">
        <is>
          <t>Nama klien / perusahaan</t>
        </is>
      </c>
      <c r="D11" s="15" t="inlineStr">
        <is>
          <t>Nama proyek</t>
        </is>
      </c>
    </row>
    <row r="12">
      <c r="A12" s="15" t="inlineStr">
        <is>
          <t>Alamat klien</t>
        </is>
      </c>
    </row>
    <row r="13">
      <c r="A13" s="15" t="inlineStr">
        <is>
          <t>Email atau nomor telepon</t>
        </is>
      </c>
    </row>
    <row r="15" ht="22" customHeight="1">
      <c r="A15" s="16" t="inlineStr">
        <is>
          <t>NO</t>
        </is>
      </c>
      <c r="B15" s="16" t="inlineStr">
        <is>
          <t>DESKRIPSI</t>
        </is>
      </c>
      <c r="C15" s="17" t="inlineStr">
        <is>
          <t>QTY</t>
        </is>
      </c>
      <c r="D15" s="17" t="inlineStr">
        <is>
          <t>HARGA</t>
        </is>
      </c>
      <c r="E15" s="17" t="inlineStr">
        <is>
          <t>JUMLAH</t>
        </is>
      </c>
    </row>
    <row r="16" ht="20" customHeight="1">
      <c r="A16" s="18">
        <f>IF(B16="","",ROW()-15)</f>
        <v/>
      </c>
      <c r="B16" s="19" t="inlineStr">
        <is>
          <t>Contoh: pembuatan website company profile</t>
        </is>
      </c>
      <c r="C16" s="20" t="n">
        <v>1</v>
      </c>
      <c r="D16" s="21" t="n">
        <v>2500000</v>
      </c>
      <c r="E16" s="22">
        <f>IF(OR(C16="",D16=""),"",C16*D16)</f>
        <v/>
      </c>
    </row>
    <row r="17" ht="20" customHeight="1">
      <c r="A17" s="18">
        <f>IF(B17="","",ROW()-15)</f>
        <v/>
      </c>
      <c r="B17" s="19" t="n"/>
      <c r="C17" s="20" t="n"/>
      <c r="D17" s="21" t="n"/>
      <c r="E17" s="22">
        <f>IF(OR(C17="",D17=""),"",C17*D17)</f>
        <v/>
      </c>
    </row>
    <row r="18" ht="20" customHeight="1">
      <c r="A18" s="18">
        <f>IF(B18="","",ROW()-15)</f>
        <v/>
      </c>
      <c r="B18" s="19" t="n"/>
      <c r="C18" s="20" t="n"/>
      <c r="D18" s="21" t="n"/>
      <c r="E18" s="22">
        <f>IF(OR(C18="",D18=""),"",C18*D18)</f>
        <v/>
      </c>
    </row>
    <row r="19" ht="20" customHeight="1">
      <c r="A19" s="18">
        <f>IF(B19="","",ROW()-15)</f>
        <v/>
      </c>
      <c r="B19" s="19" t="n"/>
      <c r="C19" s="20" t="n"/>
      <c r="D19" s="21" t="n"/>
      <c r="E19" s="22">
        <f>IF(OR(C19="",D19=""),"",C19*D19)</f>
        <v/>
      </c>
    </row>
    <row r="20" ht="20" customHeight="1">
      <c r="A20" s="18">
        <f>IF(B20="","",ROW()-15)</f>
        <v/>
      </c>
      <c r="B20" s="19" t="n"/>
      <c r="C20" s="20" t="n"/>
      <c r="D20" s="21" t="n"/>
      <c r="E20" s="22">
        <f>IF(OR(C20="",D20=""),"",C20*D20)</f>
        <v/>
      </c>
    </row>
    <row r="21" ht="20" customHeight="1">
      <c r="A21" s="18">
        <f>IF(B21="","",ROW()-15)</f>
        <v/>
      </c>
      <c r="B21" s="19" t="n"/>
      <c r="C21" s="20" t="n"/>
      <c r="D21" s="21" t="n"/>
      <c r="E21" s="22">
        <f>IF(OR(C21="",D21=""),"",C21*D21)</f>
        <v/>
      </c>
    </row>
    <row r="22" ht="20" customHeight="1">
      <c r="A22" s="18">
        <f>IF(B22="","",ROW()-15)</f>
        <v/>
      </c>
      <c r="B22" s="19" t="n"/>
      <c r="C22" s="20" t="n"/>
      <c r="D22" s="21" t="n"/>
      <c r="E22" s="22">
        <f>IF(OR(C22="",D22=""),"",C22*D22)</f>
        <v/>
      </c>
    </row>
    <row r="23" ht="20" customHeight="1">
      <c r="A23" s="18">
        <f>IF(B23="","",ROW()-15)</f>
        <v/>
      </c>
      <c r="B23" s="19" t="n"/>
      <c r="C23" s="20" t="n"/>
      <c r="D23" s="21" t="n"/>
      <c r="E23" s="22">
        <f>IF(OR(C23="",D23=""),"",C23*D23)</f>
        <v/>
      </c>
    </row>
    <row r="24" ht="20" customHeight="1">
      <c r="A24" s="18">
        <f>IF(B24="","",ROW()-15)</f>
        <v/>
      </c>
      <c r="B24" s="19" t="n"/>
      <c r="C24" s="20" t="n"/>
      <c r="D24" s="21" t="n"/>
      <c r="E24" s="22">
        <f>IF(OR(C24="",D24=""),"",C24*D24)</f>
        <v/>
      </c>
    </row>
    <row r="25" ht="20" customHeight="1">
      <c r="A25" s="18">
        <f>IF(B25="","",ROW()-15)</f>
        <v/>
      </c>
      <c r="B25" s="19" t="n"/>
      <c r="C25" s="20" t="n"/>
      <c r="D25" s="21" t="n"/>
      <c r="E25" s="22">
        <f>IF(OR(C25="",D25=""),"",C25*D25)</f>
        <v/>
      </c>
    </row>
    <row r="27">
      <c r="D27" s="23" t="inlineStr">
        <is>
          <t>Subtotal</t>
        </is>
      </c>
      <c r="E27" s="24">
        <f>SUM(E16:E25)</f>
        <v/>
      </c>
    </row>
    <row r="28">
      <c r="D28" s="23" t="inlineStr">
        <is>
          <t>Diskon</t>
        </is>
      </c>
      <c r="E28" s="25" t="n">
        <v>0</v>
      </c>
    </row>
    <row r="29">
      <c r="D29" s="23" t="inlineStr">
        <is>
          <t>Pajak (%)</t>
        </is>
      </c>
      <c r="E29" s="26" t="n">
        <v>0</v>
      </c>
    </row>
    <row r="30">
      <c r="D30" s="23" t="inlineStr">
        <is>
          <t>Pajak</t>
        </is>
      </c>
      <c r="E30" s="24">
        <f>ROUND(MAX(0,E27-E28)*E29,0)</f>
        <v/>
      </c>
    </row>
    <row r="31" ht="26" customHeight="1">
      <c r="D31" s="27" t="inlineStr">
        <is>
          <t>Total</t>
        </is>
      </c>
      <c r="E31" s="28">
        <f>MAX(0,E27-E28)+E30</f>
        <v/>
      </c>
    </row>
    <row r="33">
      <c r="A33" s="1" t="inlineStr">
        <is>
          <t>PEMBAYARAN</t>
        </is>
      </c>
    </row>
    <row r="34">
      <c r="A34" s="15" t="inlineStr">
        <is>
          <t>Nama bank</t>
        </is>
      </c>
      <c r="D34" s="29" t="inlineStr">
        <is>
          <t>Hormat kami,</t>
        </is>
      </c>
    </row>
    <row r="35">
      <c r="A35" s="15" t="inlineStr">
        <is>
          <t>No. rekening</t>
        </is>
      </c>
    </row>
    <row r="36">
      <c r="A36" s="30" t="inlineStr">
        <is>
          <t>a.n. PT FUSIONIFY DIGITAL STORE</t>
        </is>
      </c>
    </row>
    <row r="37">
      <c r="A37" s="31" t="inlineStr">
        <is>
          <t>Cantumkan nomor invoice di berita transfer, lalu kirim bukti ke hello@fusionify.id.</t>
        </is>
      </c>
    </row>
    <row r="38">
      <c r="D38" s="32" t="inlineStr">
        <is>
          <t>Nama penanda tangan</t>
        </is>
      </c>
    </row>
    <row r="39">
      <c r="D39" s="32" t="inlineStr">
        <is>
          <t>Jabatan</t>
        </is>
      </c>
    </row>
  </sheetData>
  <mergeCells count="14">
    <mergeCell ref="D8:E8"/>
    <mergeCell ref="D6:E6"/>
    <mergeCell ref="D39:E39"/>
    <mergeCell ref="D7:E7"/>
    <mergeCell ref="A35:B35"/>
    <mergeCell ref="D11:E11"/>
    <mergeCell ref="A11:B11"/>
    <mergeCell ref="D34:E34"/>
    <mergeCell ref="A37:B37"/>
    <mergeCell ref="D38:E38"/>
    <mergeCell ref="A13:B13"/>
    <mergeCell ref="A36:B36"/>
    <mergeCell ref="A34:B34"/>
    <mergeCell ref="A12:B12"/>
  </mergeCells>
  <pageMargins left="0.75" right="0.75" top="1" bottom="1" header="0.5" footer="0.5"/>
  <pageSetup paperSize="9" fitToHeight="0" fitToWidth="1"/>
  <headerFooter>
    <oddHeader/>
    <oddFooter>&amp;L&amp;"Exo 2"&amp;8 PT FUSIONIFY DIGITAL STORE · fusionify.id&amp;R&amp;"Exo 2"&amp;8 Halaman &amp;P dari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8" customWidth="1" min="4" max="4"/>
    <col width="18" customWidth="1" min="5" max="5"/>
    <col width="13" customWidth="1" min="6" max="6"/>
    <col width="34" customWidth="1" min="7" max="7"/>
  </cols>
  <sheetData>
    <row r="1" ht="16" customHeight="1">
      <c r="G1" s="6" t="inlineStr">
        <is>
          <t>PT FUSIONIFY DIGITAL STORE</t>
        </is>
      </c>
    </row>
    <row r="2" ht="16" customHeight="1">
      <c r="G2" s="7" t="inlineStr">
        <is>
          <t>Bogor, Jawa Barat</t>
        </is>
      </c>
    </row>
    <row r="3" ht="16" customHeight="1">
      <c r="G3" s="7" t="inlineStr">
        <is>
          <t>hello@fusionify.id · +62 831-1138-0628 · fusionify.id</t>
        </is>
      </c>
    </row>
    <row r="4">
      <c r="A4" s="8" t="n"/>
      <c r="B4" s="8" t="n"/>
      <c r="C4" s="8" t="n"/>
      <c r="D4" s="8" t="n"/>
      <c r="E4" s="8" t="n"/>
      <c r="F4" s="8" t="n"/>
      <c r="G4" s="8" t="n"/>
    </row>
    <row r="6">
      <c r="A6" s="1" t="inlineStr">
        <is>
          <t>KEUANGAN</t>
        </is>
      </c>
      <c r="E6" s="9" t="inlineStr">
        <is>
          <t>Periode</t>
        </is>
      </c>
      <c r="F6" s="15" t="inlineStr">
        <is>
          <t>Oktober 2026</t>
        </is>
      </c>
    </row>
    <row r="7" ht="34" customHeight="1">
      <c r="A7" s="11" t="inlineStr">
        <is>
          <t>Anggaran</t>
        </is>
      </c>
    </row>
    <row r="9" ht="22" customHeight="1">
      <c r="A9" s="16" t="inlineStr">
        <is>
          <t>NO</t>
        </is>
      </c>
      <c r="B9" s="16" t="inlineStr">
        <is>
          <t>KATEGORI</t>
        </is>
      </c>
      <c r="C9" s="16" t="inlineStr">
        <is>
          <t>RENCANA</t>
        </is>
      </c>
      <c r="D9" s="16" t="inlineStr">
        <is>
          <t>REALISASI</t>
        </is>
      </c>
      <c r="E9" s="16" t="inlineStr">
        <is>
          <t>SELISIH</t>
        </is>
      </c>
      <c r="F9" s="16" t="inlineStr">
        <is>
          <t>TERPAKAI</t>
        </is>
      </c>
      <c r="G9" s="16" t="inlineStr">
        <is>
          <t>CATATAN</t>
        </is>
      </c>
    </row>
    <row r="10">
      <c r="A10" s="18">
        <f>IF(B10="","",ROW()-9)</f>
        <v/>
      </c>
      <c r="B10" s="33" t="inlineStr">
        <is>
          <t>Contoh: server dan domain</t>
        </is>
      </c>
      <c r="C10" s="21" t="n">
        <v>1500000</v>
      </c>
      <c r="D10" s="21" t="n">
        <v>1250000</v>
      </c>
      <c r="E10" s="22">
        <f>IF(B10="","",C10-D10)</f>
        <v/>
      </c>
      <c r="F10" s="34">
        <f>IF(OR(B10="",N(C10)=0),"",D10/C10)</f>
        <v/>
      </c>
      <c r="G10" s="33" t="inlineStr">
        <is>
          <t>Baris contoh, timpa dengan data asli</t>
        </is>
      </c>
    </row>
    <row r="11">
      <c r="A11" s="18">
        <f>IF(B11="","",ROW()-9)</f>
        <v/>
      </c>
      <c r="B11" s="33" t="n"/>
      <c r="C11" s="21" t="n"/>
      <c r="D11" s="21" t="n"/>
      <c r="E11" s="22">
        <f>IF(B11="","",C11-D11)</f>
        <v/>
      </c>
      <c r="F11" s="34">
        <f>IF(OR(B11="",N(C11)=0),"",D11/C11)</f>
        <v/>
      </c>
      <c r="G11" s="33" t="n"/>
    </row>
    <row r="12">
      <c r="A12" s="18">
        <f>IF(B12="","",ROW()-9)</f>
        <v/>
      </c>
      <c r="B12" s="33" t="n"/>
      <c r="C12" s="21" t="n"/>
      <c r="D12" s="21" t="n"/>
      <c r="E12" s="22">
        <f>IF(B12="","",C12-D12)</f>
        <v/>
      </c>
      <c r="F12" s="34">
        <f>IF(OR(B12="",N(C12)=0),"",D12/C12)</f>
        <v/>
      </c>
      <c r="G12" s="33" t="n"/>
    </row>
    <row r="13">
      <c r="A13" s="18">
        <f>IF(B13="","",ROW()-9)</f>
        <v/>
      </c>
      <c r="B13" s="33" t="n"/>
      <c r="C13" s="21" t="n"/>
      <c r="D13" s="21" t="n"/>
      <c r="E13" s="22">
        <f>IF(B13="","",C13-D13)</f>
        <v/>
      </c>
      <c r="F13" s="34">
        <f>IF(OR(B13="",N(C13)=0),"",D13/C13)</f>
        <v/>
      </c>
      <c r="G13" s="33" t="n"/>
    </row>
    <row r="14">
      <c r="A14" s="18">
        <f>IF(B14="","",ROW()-9)</f>
        <v/>
      </c>
      <c r="B14" s="33" t="n"/>
      <c r="C14" s="21" t="n"/>
      <c r="D14" s="21" t="n"/>
      <c r="E14" s="22">
        <f>IF(B14="","",C14-D14)</f>
        <v/>
      </c>
      <c r="F14" s="34">
        <f>IF(OR(B14="",N(C14)=0),"",D14/C14)</f>
        <v/>
      </c>
      <c r="G14" s="33" t="n"/>
    </row>
    <row r="15">
      <c r="A15" s="18">
        <f>IF(B15="","",ROW()-9)</f>
        <v/>
      </c>
      <c r="B15" s="33" t="n"/>
      <c r="C15" s="21" t="n"/>
      <c r="D15" s="21" t="n"/>
      <c r="E15" s="22">
        <f>IF(B15="","",C15-D15)</f>
        <v/>
      </c>
      <c r="F15" s="34">
        <f>IF(OR(B15="",N(C15)=0),"",D15/C15)</f>
        <v/>
      </c>
      <c r="G15" s="33" t="n"/>
    </row>
    <row r="16">
      <c r="A16" s="18">
        <f>IF(B16="","",ROW()-9)</f>
        <v/>
      </c>
      <c r="B16" s="33" t="n"/>
      <c r="C16" s="21" t="n"/>
      <c r="D16" s="21" t="n"/>
      <c r="E16" s="22">
        <f>IF(B16="","",C16-D16)</f>
        <v/>
      </c>
      <c r="F16" s="34">
        <f>IF(OR(B16="",N(C16)=0),"",D16/C16)</f>
        <v/>
      </c>
      <c r="G16" s="33" t="n"/>
    </row>
    <row r="17">
      <c r="A17" s="18">
        <f>IF(B17="","",ROW()-9)</f>
        <v/>
      </c>
      <c r="B17" s="33" t="n"/>
      <c r="C17" s="21" t="n"/>
      <c r="D17" s="21" t="n"/>
      <c r="E17" s="22">
        <f>IF(B17="","",C17-D17)</f>
        <v/>
      </c>
      <c r="F17" s="34">
        <f>IF(OR(B17="",N(C17)=0),"",D17/C17)</f>
        <v/>
      </c>
      <c r="G17" s="33" t="n"/>
    </row>
    <row r="18">
      <c r="A18" s="18">
        <f>IF(B18="","",ROW()-9)</f>
        <v/>
      </c>
      <c r="B18" s="33" t="n"/>
      <c r="C18" s="21" t="n"/>
      <c r="D18" s="21" t="n"/>
      <c r="E18" s="22">
        <f>IF(B18="","",C18-D18)</f>
        <v/>
      </c>
      <c r="F18" s="34">
        <f>IF(OR(B18="",N(C18)=0),"",D18/C18)</f>
        <v/>
      </c>
      <c r="G18" s="33" t="n"/>
    </row>
    <row r="19">
      <c r="A19" s="18">
        <f>IF(B19="","",ROW()-9)</f>
        <v/>
      </c>
      <c r="B19" s="33" t="n"/>
      <c r="C19" s="21" t="n"/>
      <c r="D19" s="21" t="n"/>
      <c r="E19" s="22">
        <f>IF(B19="","",C19-D19)</f>
        <v/>
      </c>
      <c r="F19" s="34">
        <f>IF(OR(B19="",N(C19)=0),"",D19/C19)</f>
        <v/>
      </c>
      <c r="G19" s="33" t="n"/>
    </row>
    <row r="20">
      <c r="A20" s="18">
        <f>IF(B20="","",ROW()-9)</f>
        <v/>
      </c>
      <c r="B20" s="33" t="n"/>
      <c r="C20" s="21" t="n"/>
      <c r="D20" s="21" t="n"/>
      <c r="E20" s="22">
        <f>IF(B20="","",C20-D20)</f>
        <v/>
      </c>
      <c r="F20" s="34">
        <f>IF(OR(B20="",N(C20)=0),"",D20/C20)</f>
        <v/>
      </c>
      <c r="G20" s="33" t="n"/>
    </row>
    <row r="21">
      <c r="A21" s="18">
        <f>IF(B21="","",ROW()-9)</f>
        <v/>
      </c>
      <c r="B21" s="33" t="n"/>
      <c r="C21" s="21" t="n"/>
      <c r="D21" s="21" t="n"/>
      <c r="E21" s="22">
        <f>IF(B21="","",C21-D21)</f>
        <v/>
      </c>
      <c r="F21" s="34">
        <f>IF(OR(B21="",N(C21)=0),"",D21/C21)</f>
        <v/>
      </c>
      <c r="G21" s="33" t="n"/>
    </row>
    <row r="22">
      <c r="A22" s="18">
        <f>IF(B22="","",ROW()-9)</f>
        <v/>
      </c>
      <c r="B22" s="33" t="n"/>
      <c r="C22" s="21" t="n"/>
      <c r="D22" s="21" t="n"/>
      <c r="E22" s="22">
        <f>IF(B22="","",C22-D22)</f>
        <v/>
      </c>
      <c r="F22" s="34">
        <f>IF(OR(B22="",N(C22)=0),"",D22/C22)</f>
        <v/>
      </c>
      <c r="G22" s="33" t="n"/>
    </row>
    <row r="23">
      <c r="A23" s="18">
        <f>IF(B23="","",ROW()-9)</f>
        <v/>
      </c>
      <c r="B23" s="33" t="n"/>
      <c r="C23" s="21" t="n"/>
      <c r="D23" s="21" t="n"/>
      <c r="E23" s="22">
        <f>IF(B23="","",C23-D23)</f>
        <v/>
      </c>
      <c r="F23" s="34">
        <f>IF(OR(B23="",N(C23)=0),"",D23/C23)</f>
        <v/>
      </c>
      <c r="G23" s="33" t="n"/>
    </row>
    <row r="24">
      <c r="A24" s="18">
        <f>IF(B24="","",ROW()-9)</f>
        <v/>
      </c>
      <c r="B24" s="33" t="n"/>
      <c r="C24" s="21" t="n"/>
      <c r="D24" s="21" t="n"/>
      <c r="E24" s="22">
        <f>IF(B24="","",C24-D24)</f>
        <v/>
      </c>
      <c r="F24" s="34">
        <f>IF(OR(B24="",N(C24)=0),"",D24/C24)</f>
        <v/>
      </c>
      <c r="G24" s="33" t="n"/>
    </row>
    <row r="25" ht="24" customHeight="1">
      <c r="A25" s="35" t="n"/>
      <c r="B25" s="36" t="inlineStr">
        <is>
          <t>Total</t>
        </is>
      </c>
      <c r="C25" s="37">
        <f>SUM(C10:C24)</f>
        <v/>
      </c>
      <c r="D25" s="37">
        <f>SUM(D10:D24)</f>
        <v/>
      </c>
      <c r="E25" s="37">
        <f>C25-D25</f>
        <v/>
      </c>
      <c r="F25" s="38">
        <f>IF(C25=0,"",D25/C25)</f>
        <v/>
      </c>
      <c r="G25" s="35" t="n"/>
    </row>
  </sheetData>
  <mergeCells count="1">
    <mergeCell ref="F6:G6"/>
  </mergeCells>
  <conditionalFormatting sqref="F10:F24">
    <cfRule type="cellIs" priority="1" operator="greaterThan" dxfId="0">
      <formula>1</formula>
    </cfRule>
  </conditionalFormatting>
  <conditionalFormatting sqref="E10:E24">
    <cfRule type="cellIs" priority="2" operator="lessThan" dxfId="1">
      <formula>0</formula>
    </cfRule>
  </conditionalFormatting>
  <pageMargins left="0.75" right="0.75" top="1" bottom="1" header="0.5" footer="0.5"/>
  <pageSetup paperSize="9" fitToHeight="0" fitToWidth="1"/>
  <headerFooter>
    <oddHeader/>
    <oddFooter>&amp;L&amp;"Exo 2"&amp;8 PT FUSIONIFY DIGITAL STORE · fusionify.id&amp;R&amp;"Exo 2"&amp;8 Halaman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2" customWidth="1" min="4" max="4"/>
    <col width="22" customWidth="1" min="5" max="5"/>
    <col width="16" customWidth="1" min="6" max="6"/>
    <col width="38" customWidth="1" min="7" max="7"/>
  </cols>
  <sheetData>
    <row r="1" ht="16" customHeight="1">
      <c r="G1" s="6" t="inlineStr">
        <is>
          <t>PT FUSIONIFY DIGITAL STORE</t>
        </is>
      </c>
    </row>
    <row r="2" ht="16" customHeight="1">
      <c r="G2" s="7" t="inlineStr">
        <is>
          <t>Bogor, Jawa Barat</t>
        </is>
      </c>
    </row>
    <row r="3" ht="16" customHeight="1">
      <c r="G3" s="7" t="inlineStr">
        <is>
          <t>hello@fusionify.id · +62 831-1138-0628 · fusionify.id</t>
        </is>
      </c>
    </row>
    <row r="4">
      <c r="A4" s="8" t="n"/>
      <c r="B4" s="8" t="n"/>
      <c r="C4" s="8" t="n"/>
      <c r="D4" s="8" t="n"/>
      <c r="E4" s="8" t="n"/>
      <c r="F4" s="8" t="n"/>
      <c r="G4" s="8" t="n"/>
    </row>
    <row r="6">
      <c r="A6" s="1" t="inlineStr">
        <is>
          <t>PELACAK</t>
        </is>
      </c>
    </row>
    <row r="7" ht="34" customHeight="1">
      <c r="A7" s="11" t="inlineStr">
        <is>
          <t>Daftar</t>
        </is>
      </c>
    </row>
    <row r="9" ht="22" customHeight="1">
      <c r="A9" s="16" t="inlineStr">
        <is>
          <t>NO</t>
        </is>
      </c>
      <c r="B9" s="16" t="inlineStr">
        <is>
          <t>NAMA</t>
        </is>
      </c>
      <c r="C9" s="16" t="inlineStr">
        <is>
          <t>KATEGORI</t>
        </is>
      </c>
      <c r="D9" s="16" t="inlineStr">
        <is>
          <t>STATUS</t>
        </is>
      </c>
      <c r="E9" s="16" t="inlineStr">
        <is>
          <t>PENANGGUNG JAWAB</t>
        </is>
      </c>
      <c r="F9" s="16" t="inlineStr">
        <is>
          <t>TANGGAL</t>
        </is>
      </c>
      <c r="G9" s="16" t="inlineStr">
        <is>
          <t>CATATAN</t>
        </is>
      </c>
    </row>
    <row r="10">
      <c r="A10" s="18">
        <f>IF(B10="","",ROW()-9)</f>
        <v/>
      </c>
      <c r="B10" s="33" t="inlineStr">
        <is>
          <t>Contoh: website company profile</t>
        </is>
      </c>
      <c r="C10" s="33" t="inlineStr">
        <is>
          <t>Proyek klien</t>
        </is>
      </c>
      <c r="D10" s="33" t="inlineStr">
        <is>
          <t>Dalam pengembangan</t>
        </is>
      </c>
      <c r="E10" s="33" t="inlineStr">
        <is>
          <t>Nama orang</t>
        </is>
      </c>
      <c r="F10" s="39" t="n">
        <v>46321</v>
      </c>
      <c r="G10" s="33" t="inlineStr">
        <is>
          <t>Baris contoh, timpa dengan data asli</t>
        </is>
      </c>
    </row>
    <row r="11">
      <c r="A11" s="18">
        <f>IF(B11="","",ROW()-9)</f>
        <v/>
      </c>
      <c r="B11" s="33" t="n"/>
      <c r="C11" s="33" t="n"/>
      <c r="D11" s="33" t="n"/>
      <c r="E11" s="33" t="n"/>
      <c r="F11" s="39" t="n"/>
      <c r="G11" s="33" t="n"/>
    </row>
    <row r="12">
      <c r="A12" s="18">
        <f>IF(B12="","",ROW()-9)</f>
        <v/>
      </c>
      <c r="B12" s="33" t="n"/>
      <c r="C12" s="33" t="n"/>
      <c r="D12" s="33" t="n"/>
      <c r="E12" s="33" t="n"/>
      <c r="F12" s="39" t="n"/>
      <c r="G12" s="33" t="n"/>
    </row>
    <row r="13">
      <c r="A13" s="18">
        <f>IF(B13="","",ROW()-9)</f>
        <v/>
      </c>
      <c r="B13" s="33" t="n"/>
      <c r="C13" s="33" t="n"/>
      <c r="D13" s="33" t="n"/>
      <c r="E13" s="33" t="n"/>
      <c r="F13" s="39" t="n"/>
      <c r="G13" s="33" t="n"/>
    </row>
    <row r="14">
      <c r="A14" s="18">
        <f>IF(B14="","",ROW()-9)</f>
        <v/>
      </c>
      <c r="B14" s="33" t="n"/>
      <c r="C14" s="33" t="n"/>
      <c r="D14" s="33" t="n"/>
      <c r="E14" s="33" t="n"/>
      <c r="F14" s="39" t="n"/>
      <c r="G14" s="33" t="n"/>
    </row>
    <row r="15">
      <c r="A15" s="18">
        <f>IF(B15="","",ROW()-9)</f>
        <v/>
      </c>
      <c r="B15" s="33" t="n"/>
      <c r="C15" s="33" t="n"/>
      <c r="D15" s="33" t="n"/>
      <c r="E15" s="33" t="n"/>
      <c r="F15" s="39" t="n"/>
      <c r="G15" s="33" t="n"/>
    </row>
    <row r="16">
      <c r="A16" s="18">
        <f>IF(B16="","",ROW()-9)</f>
        <v/>
      </c>
      <c r="B16" s="33" t="n"/>
      <c r="C16" s="33" t="n"/>
      <c r="D16" s="33" t="n"/>
      <c r="E16" s="33" t="n"/>
      <c r="F16" s="39" t="n"/>
      <c r="G16" s="33" t="n"/>
    </row>
    <row r="17">
      <c r="A17" s="18">
        <f>IF(B17="","",ROW()-9)</f>
        <v/>
      </c>
      <c r="B17" s="33" t="n"/>
      <c r="C17" s="33" t="n"/>
      <c r="D17" s="33" t="n"/>
      <c r="E17" s="33" t="n"/>
      <c r="F17" s="39" t="n"/>
      <c r="G17" s="33" t="n"/>
    </row>
    <row r="18">
      <c r="A18" s="18">
        <f>IF(B18="","",ROW()-9)</f>
        <v/>
      </c>
      <c r="B18" s="33" t="n"/>
      <c r="C18" s="33" t="n"/>
      <c r="D18" s="33" t="n"/>
      <c r="E18" s="33" t="n"/>
      <c r="F18" s="39" t="n"/>
      <c r="G18" s="33" t="n"/>
    </row>
    <row r="19">
      <c r="A19" s="18">
        <f>IF(B19="","",ROW()-9)</f>
        <v/>
      </c>
      <c r="B19" s="33" t="n"/>
      <c r="C19" s="33" t="n"/>
      <c r="D19" s="33" t="n"/>
      <c r="E19" s="33" t="n"/>
      <c r="F19" s="39" t="n"/>
      <c r="G19" s="33" t="n"/>
    </row>
    <row r="20">
      <c r="A20" s="18">
        <f>IF(B20="","",ROW()-9)</f>
        <v/>
      </c>
      <c r="B20" s="33" t="n"/>
      <c r="C20" s="33" t="n"/>
      <c r="D20" s="33" t="n"/>
      <c r="E20" s="33" t="n"/>
      <c r="F20" s="39" t="n"/>
      <c r="G20" s="33" t="n"/>
    </row>
    <row r="21">
      <c r="A21" s="18">
        <f>IF(B21="","",ROW()-9)</f>
        <v/>
      </c>
      <c r="B21" s="33" t="n"/>
      <c r="C21" s="33" t="n"/>
      <c r="D21" s="33" t="n"/>
      <c r="E21" s="33" t="n"/>
      <c r="F21" s="39" t="n"/>
      <c r="G21" s="33" t="n"/>
    </row>
    <row r="22">
      <c r="A22" s="18">
        <f>IF(B22="","",ROW()-9)</f>
        <v/>
      </c>
      <c r="B22" s="33" t="n"/>
      <c r="C22" s="33" t="n"/>
      <c r="D22" s="33" t="n"/>
      <c r="E22" s="33" t="n"/>
      <c r="F22" s="39" t="n"/>
      <c r="G22" s="33" t="n"/>
    </row>
    <row r="23">
      <c r="A23" s="18">
        <f>IF(B23="","",ROW()-9)</f>
        <v/>
      </c>
      <c r="B23" s="33" t="n"/>
      <c r="C23" s="33" t="n"/>
      <c r="D23" s="33" t="n"/>
      <c r="E23" s="33" t="n"/>
      <c r="F23" s="39" t="n"/>
      <c r="G23" s="33" t="n"/>
    </row>
    <row r="24">
      <c r="A24" s="18">
        <f>IF(B24="","",ROW()-9)</f>
        <v/>
      </c>
      <c r="B24" s="33" t="n"/>
      <c r="C24" s="33" t="n"/>
      <c r="D24" s="33" t="n"/>
      <c r="E24" s="33" t="n"/>
      <c r="F24" s="39" t="n"/>
      <c r="G24" s="33" t="n"/>
    </row>
    <row r="25">
      <c r="A25" s="18">
        <f>IF(B25="","",ROW()-9)</f>
        <v/>
      </c>
      <c r="B25" s="33" t="n"/>
      <c r="C25" s="33" t="n"/>
      <c r="D25" s="33" t="n"/>
      <c r="E25" s="33" t="n"/>
      <c r="F25" s="39" t="n"/>
      <c r="G25" s="33" t="n"/>
    </row>
    <row r="26">
      <c r="A26" s="18">
        <f>IF(B26="","",ROW()-9)</f>
        <v/>
      </c>
      <c r="B26" s="33" t="n"/>
      <c r="C26" s="33" t="n"/>
      <c r="D26" s="33" t="n"/>
      <c r="E26" s="33" t="n"/>
      <c r="F26" s="39" t="n"/>
      <c r="G26" s="33" t="n"/>
    </row>
    <row r="27">
      <c r="A27" s="18">
        <f>IF(B27="","",ROW()-9)</f>
        <v/>
      </c>
      <c r="B27" s="33" t="n"/>
      <c r="C27" s="33" t="n"/>
      <c r="D27" s="33" t="n"/>
      <c r="E27" s="33" t="n"/>
      <c r="F27" s="39" t="n"/>
      <c r="G27" s="33" t="n"/>
    </row>
    <row r="28">
      <c r="A28" s="18">
        <f>IF(B28="","",ROW()-9)</f>
        <v/>
      </c>
      <c r="B28" s="33" t="n"/>
      <c r="C28" s="33" t="n"/>
      <c r="D28" s="33" t="n"/>
      <c r="E28" s="33" t="n"/>
      <c r="F28" s="39" t="n"/>
      <c r="G28" s="33" t="n"/>
    </row>
    <row r="29">
      <c r="A29" s="18">
        <f>IF(B29="","",ROW()-9)</f>
        <v/>
      </c>
      <c r="B29" s="33" t="n"/>
      <c r="C29" s="33" t="n"/>
      <c r="D29" s="33" t="n"/>
      <c r="E29" s="33" t="n"/>
      <c r="F29" s="39" t="n"/>
      <c r="G29" s="33" t="n"/>
    </row>
    <row r="30">
      <c r="A30" s="18">
        <f>IF(B30="","",ROW()-9)</f>
        <v/>
      </c>
      <c r="B30" s="33" t="n"/>
      <c r="C30" s="33" t="n"/>
      <c r="D30" s="33" t="n"/>
      <c r="E30" s="33" t="n"/>
      <c r="F30" s="39" t="n"/>
      <c r="G30" s="33" t="n"/>
    </row>
    <row r="31">
      <c r="A31" s="18">
        <f>IF(B31="","",ROW()-9)</f>
        <v/>
      </c>
      <c r="B31" s="33" t="n"/>
      <c r="C31" s="33" t="n"/>
      <c r="D31" s="33" t="n"/>
      <c r="E31" s="33" t="n"/>
      <c r="F31" s="39" t="n"/>
      <c r="G31" s="33" t="n"/>
    </row>
    <row r="32">
      <c r="A32" s="18">
        <f>IF(B32="","",ROW()-9)</f>
        <v/>
      </c>
      <c r="B32" s="33" t="n"/>
      <c r="C32" s="33" t="n"/>
      <c r="D32" s="33" t="n"/>
      <c r="E32" s="33" t="n"/>
      <c r="F32" s="39" t="n"/>
      <c r="G32" s="33" t="n"/>
    </row>
    <row r="33">
      <c r="A33" s="18">
        <f>IF(B33="","",ROW()-9)</f>
        <v/>
      </c>
      <c r="B33" s="33" t="n"/>
      <c r="C33" s="33" t="n"/>
      <c r="D33" s="33" t="n"/>
      <c r="E33" s="33" t="n"/>
      <c r="F33" s="39" t="n"/>
      <c r="G33" s="33" t="n"/>
    </row>
    <row r="34">
      <c r="A34" s="18">
        <f>IF(B34="","",ROW()-9)</f>
        <v/>
      </c>
      <c r="B34" s="33" t="n"/>
      <c r="C34" s="33" t="n"/>
      <c r="D34" s="33" t="n"/>
      <c r="E34" s="33" t="n"/>
      <c r="F34" s="39" t="n"/>
      <c r="G34" s="33" t="n"/>
    </row>
    <row r="35">
      <c r="A35" s="18">
        <f>IF(B35="","",ROW()-9)</f>
        <v/>
      </c>
      <c r="B35" s="33" t="n"/>
      <c r="C35" s="33" t="n"/>
      <c r="D35" s="33" t="n"/>
      <c r="E35" s="33" t="n"/>
      <c r="F35" s="39" t="n"/>
      <c r="G35" s="33" t="n"/>
    </row>
    <row r="36">
      <c r="A36" s="18">
        <f>IF(B36="","",ROW()-9)</f>
        <v/>
      </c>
      <c r="B36" s="33" t="n"/>
      <c r="C36" s="33" t="n"/>
      <c r="D36" s="33" t="n"/>
      <c r="E36" s="33" t="n"/>
      <c r="F36" s="39" t="n"/>
      <c r="G36" s="33" t="n"/>
    </row>
    <row r="37">
      <c r="A37" s="18">
        <f>IF(B37="","",ROW()-9)</f>
        <v/>
      </c>
      <c r="B37" s="33" t="n"/>
      <c r="C37" s="33" t="n"/>
      <c r="D37" s="33" t="n"/>
      <c r="E37" s="33" t="n"/>
      <c r="F37" s="39" t="n"/>
      <c r="G37" s="33" t="n"/>
    </row>
    <row r="38">
      <c r="A38" s="18">
        <f>IF(B38="","",ROW()-9)</f>
        <v/>
      </c>
      <c r="B38" s="33" t="n"/>
      <c r="C38" s="33" t="n"/>
      <c r="D38" s="33" t="n"/>
      <c r="E38" s="33" t="n"/>
      <c r="F38" s="39" t="n"/>
      <c r="G38" s="33" t="n"/>
    </row>
    <row r="39">
      <c r="A39" s="18">
        <f>IF(B39="","",ROW()-9)</f>
        <v/>
      </c>
      <c r="B39" s="33" t="n"/>
      <c r="C39" s="33" t="n"/>
      <c r="D39" s="33" t="n"/>
      <c r="E39" s="33" t="n"/>
      <c r="F39" s="39" t="n"/>
      <c r="G39" s="33" t="n"/>
    </row>
    <row r="40">
      <c r="A40" s="18">
        <f>IF(B40="","",ROW()-9)</f>
        <v/>
      </c>
      <c r="B40" s="33" t="n"/>
      <c r="C40" s="33" t="n"/>
      <c r="D40" s="33" t="n"/>
      <c r="E40" s="33" t="n"/>
      <c r="F40" s="39" t="n"/>
      <c r="G40" s="33" t="n"/>
    </row>
    <row r="41">
      <c r="A41" s="18">
        <f>IF(B41="","",ROW()-9)</f>
        <v/>
      </c>
      <c r="B41" s="33" t="n"/>
      <c r="C41" s="33" t="n"/>
      <c r="D41" s="33" t="n"/>
      <c r="E41" s="33" t="n"/>
      <c r="F41" s="39" t="n"/>
      <c r="G41" s="33" t="n"/>
    </row>
    <row r="42">
      <c r="A42" s="18">
        <f>IF(B42="","",ROW()-9)</f>
        <v/>
      </c>
      <c r="B42" s="33" t="n"/>
      <c r="C42" s="33" t="n"/>
      <c r="D42" s="33" t="n"/>
      <c r="E42" s="33" t="n"/>
      <c r="F42" s="39" t="n"/>
      <c r="G42" s="33" t="n"/>
    </row>
    <row r="43">
      <c r="A43" s="18">
        <f>IF(B43="","",ROW()-9)</f>
        <v/>
      </c>
      <c r="B43" s="33" t="n"/>
      <c r="C43" s="33" t="n"/>
      <c r="D43" s="33" t="n"/>
      <c r="E43" s="33" t="n"/>
      <c r="F43" s="39" t="n"/>
      <c r="G43" s="33" t="n"/>
    </row>
    <row r="44">
      <c r="A44" s="18">
        <f>IF(B44="","",ROW()-9)</f>
        <v/>
      </c>
      <c r="B44" s="33" t="n"/>
      <c r="C44" s="33" t="n"/>
      <c r="D44" s="33" t="n"/>
      <c r="E44" s="33" t="n"/>
      <c r="F44" s="39" t="n"/>
      <c r="G44" s="33" t="n"/>
    </row>
    <row r="45">
      <c r="A45" s="18">
        <f>IF(B45="","",ROW()-9)</f>
        <v/>
      </c>
      <c r="B45" s="33" t="n"/>
      <c r="C45" s="33" t="n"/>
      <c r="D45" s="33" t="n"/>
      <c r="E45" s="33" t="n"/>
      <c r="F45" s="39" t="n"/>
      <c r="G45" s="33" t="n"/>
    </row>
    <row r="46">
      <c r="A46" s="18">
        <f>IF(B46="","",ROW()-9)</f>
        <v/>
      </c>
      <c r="B46" s="33" t="n"/>
      <c r="C46" s="33" t="n"/>
      <c r="D46" s="33" t="n"/>
      <c r="E46" s="33" t="n"/>
      <c r="F46" s="39" t="n"/>
      <c r="G46" s="33" t="n"/>
    </row>
    <row r="47">
      <c r="A47" s="18">
        <f>IF(B47="","",ROW()-9)</f>
        <v/>
      </c>
      <c r="B47" s="33" t="n"/>
      <c r="C47" s="33" t="n"/>
      <c r="D47" s="33" t="n"/>
      <c r="E47" s="33" t="n"/>
      <c r="F47" s="39" t="n"/>
      <c r="G47" s="33" t="n"/>
    </row>
    <row r="48">
      <c r="A48" s="18">
        <f>IF(B48="","",ROW()-9)</f>
        <v/>
      </c>
      <c r="B48" s="33" t="n"/>
      <c r="C48" s="33" t="n"/>
      <c r="D48" s="33" t="n"/>
      <c r="E48" s="33" t="n"/>
      <c r="F48" s="39" t="n"/>
      <c r="G48" s="33" t="n"/>
    </row>
    <row r="49">
      <c r="A49" s="18">
        <f>IF(B49="","",ROW()-9)</f>
        <v/>
      </c>
      <c r="B49" s="33" t="n"/>
      <c r="C49" s="33" t="n"/>
      <c r="D49" s="33" t="n"/>
      <c r="E49" s="33" t="n"/>
      <c r="F49" s="39" t="n"/>
      <c r="G49" s="33" t="n"/>
    </row>
    <row r="50">
      <c r="A50" s="18">
        <f>IF(B50="","",ROW()-9)</f>
        <v/>
      </c>
      <c r="B50" s="33" t="n"/>
      <c r="C50" s="33" t="n"/>
      <c r="D50" s="33" t="n"/>
      <c r="E50" s="33" t="n"/>
      <c r="F50" s="39" t="n"/>
      <c r="G50" s="33" t="n"/>
    </row>
    <row r="51">
      <c r="A51" s="18">
        <f>IF(B51="","",ROW()-9)</f>
        <v/>
      </c>
      <c r="B51" s="33" t="n"/>
      <c r="C51" s="33" t="n"/>
      <c r="D51" s="33" t="n"/>
      <c r="E51" s="33" t="n"/>
      <c r="F51" s="39" t="n"/>
      <c r="G51" s="33" t="n"/>
    </row>
    <row r="52">
      <c r="A52" s="18">
        <f>IF(B52="","",ROW()-9)</f>
        <v/>
      </c>
      <c r="B52" s="33" t="n"/>
      <c r="C52" s="33" t="n"/>
      <c r="D52" s="33" t="n"/>
      <c r="E52" s="33" t="n"/>
      <c r="F52" s="39" t="n"/>
      <c r="G52" s="33" t="n"/>
    </row>
    <row r="53">
      <c r="A53" s="18">
        <f>IF(B53="","",ROW()-9)</f>
        <v/>
      </c>
      <c r="B53" s="33" t="n"/>
      <c r="C53" s="33" t="n"/>
      <c r="D53" s="33" t="n"/>
      <c r="E53" s="33" t="n"/>
      <c r="F53" s="39" t="n"/>
      <c r="G53" s="33" t="n"/>
    </row>
    <row r="54">
      <c r="A54" s="18">
        <f>IF(B54="","",ROW()-9)</f>
        <v/>
      </c>
      <c r="B54" s="33" t="n"/>
      <c r="C54" s="33" t="n"/>
      <c r="D54" s="33" t="n"/>
      <c r="E54" s="33" t="n"/>
      <c r="F54" s="39" t="n"/>
      <c r="G54" s="33" t="n"/>
    </row>
    <row r="55">
      <c r="A55" s="18">
        <f>IF(B55="","",ROW()-9)</f>
        <v/>
      </c>
      <c r="B55" s="33" t="n"/>
      <c r="C55" s="33" t="n"/>
      <c r="D55" s="33" t="n"/>
      <c r="E55" s="33" t="n"/>
      <c r="F55" s="39" t="n"/>
      <c r="G55" s="33" t="n"/>
    </row>
    <row r="56">
      <c r="A56" s="18">
        <f>IF(B56="","",ROW()-9)</f>
        <v/>
      </c>
      <c r="B56" s="33" t="n"/>
      <c r="C56" s="33" t="n"/>
      <c r="D56" s="33" t="n"/>
      <c r="E56" s="33" t="n"/>
      <c r="F56" s="39" t="n"/>
      <c r="G56" s="33" t="n"/>
    </row>
    <row r="57">
      <c r="A57" s="18">
        <f>IF(B57="","",ROW()-9)</f>
        <v/>
      </c>
      <c r="B57" s="33" t="n"/>
      <c r="C57" s="33" t="n"/>
      <c r="D57" s="33" t="n"/>
      <c r="E57" s="33" t="n"/>
      <c r="F57" s="39" t="n"/>
      <c r="G57" s="33" t="n"/>
    </row>
    <row r="58">
      <c r="A58" s="18">
        <f>IF(B58="","",ROW()-9)</f>
        <v/>
      </c>
      <c r="B58" s="33" t="n"/>
      <c r="C58" s="33" t="n"/>
      <c r="D58" s="33" t="n"/>
      <c r="E58" s="33" t="n"/>
      <c r="F58" s="39" t="n"/>
      <c r="G58" s="33" t="n"/>
    </row>
    <row r="59">
      <c r="A59" s="18">
        <f>IF(B59="","",ROW()-9)</f>
        <v/>
      </c>
      <c r="B59" s="33" t="n"/>
      <c r="C59" s="33" t="n"/>
      <c r="D59" s="33" t="n"/>
      <c r="E59" s="33" t="n"/>
      <c r="F59" s="39" t="n"/>
      <c r="G59" s="33" t="n"/>
    </row>
  </sheetData>
  <autoFilter ref="A9:G59"/>
  <conditionalFormatting sqref="D10:D59">
    <cfRule type="expression" priority="1" dxfId="2">
      <formula>$D10="Aktif"</formula>
    </cfRule>
    <cfRule type="expression" priority="2" dxfId="3">
      <formula>$D10="Beta"</formula>
    </cfRule>
    <cfRule type="expression" priority="3" dxfId="4">
      <formula>$D10="Dalam pengembangan"</formula>
    </cfRule>
    <cfRule type="expression" priority="4" dxfId="5">
      <formula>$D10="Direncanakan"</formula>
    </cfRule>
    <cfRule type="expression" priority="5" dxfId="6">
      <formula>$D10="Layanan berakhir"</formula>
    </cfRule>
  </conditionalFormatting>
  <dataValidations count="1">
    <dataValidation sqref="D10:D59" showDropDown="0" showInputMessage="0" showErrorMessage="1" allowBlank="1" errorTitle="Status tidak dikenal" error="Pilih salah satu status resmi FUSIONIFY." type="list">
      <formula1>"Aktif,Beta,Dalam pengembangan,Direncanakan,Layanan berakhir"</formula1>
    </dataValidation>
  </dataValidations>
  <pageMargins left="0.75" right="0.75" top="1" bottom="1" header="0.5" footer="0.5"/>
  <pageSetup paperSize="9" fitToHeight="0" fitToWidth="1"/>
  <headerFooter>
    <oddHeader/>
    <oddFooter>&amp;L&amp;"Exo 2"&amp;8 PT FUSIONIFY DIGITAL STORE · fusionify.id&amp;R&amp;"Exo 2"&amp;8 Halaman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 FUSIONIFY DIGITAL STORE</dc:creator>
  <dc:title xmlns:dc="http://purl.org/dc/elements/1.1/">Template spreadsheet FUSIONIFY</dc:title>
  <dcterms:created xmlns:dcterms="http://purl.org/dc/terms/" xmlns:xsi="http://www.w3.org/2001/XMLSchema-instance" xsi:type="dcterms:W3CDTF">2026-10-26T17:29:07Z</dcterms:created>
  <dcterms:modified xmlns:dcterms="http://purl.org/dc/terms/" xmlns:xsi="http://www.w3.org/2001/XMLSchema-instance" xsi:type="dcterms:W3CDTF">2026-10-26T17:29:07Z</dcterms:modified>
</cp:coreProperties>
</file>